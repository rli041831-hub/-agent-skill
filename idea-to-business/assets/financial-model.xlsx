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与情景" sheetId="1" state="visible" r:id="rId1"/>
    <sheet xmlns:r="http://schemas.openxmlformats.org/officeDocument/2006/relationships" name="月度现金" sheetId="2" state="visible" r:id="rId2"/>
    <sheet xmlns:r="http://schemas.openxmlformats.org/officeDocument/2006/relationships" name="使用与限制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44" customWidth="1" min="5" max="5"/>
    <col width="48" customWidth="1" min="6" max="6"/>
  </cols>
  <sheetData>
    <row r="1">
      <c r="A1" s="1" t="inlineStr">
        <is>
          <t>简化单位经济与现金模板：待填参数，不是已验证预测</t>
        </is>
      </c>
      <c r="B1" s="1" t="n"/>
      <c r="C1" s="1" t="n"/>
      <c r="D1" s="1" t="n"/>
      <c r="E1" s="1" t="n"/>
      <c r="F1" s="1" t="n"/>
    </row>
    <row r="2">
      <c r="A2" s="1" t="inlineStr">
        <is>
          <t>适用前提：每月销量与单价固定，即收即付；税费、融资、赊账、库存与季节性另建模型。</t>
        </is>
      </c>
      <c r="B2" s="1" t="n"/>
      <c r="C2" s="1" t="n"/>
      <c r="D2" s="1" t="n"/>
      <c r="E2" s="1" t="n"/>
      <c r="F2" s="1" t="n"/>
    </row>
    <row r="3">
      <c r="A3" s="1" t="inlineStr">
        <is>
          <t>参数/结果</t>
        </is>
      </c>
      <c r="B3" s="1" t="inlineStr">
        <is>
          <t>保守</t>
        </is>
      </c>
      <c r="C3" s="1" t="inlineStr">
        <is>
          <t>基准</t>
        </is>
      </c>
      <c r="D3" s="1" t="inlineStr">
        <is>
          <t>较好</t>
        </is>
      </c>
      <c r="E3" s="1" t="inlineStr">
        <is>
          <t>单位/说明</t>
        </is>
      </c>
      <c r="F3" s="1" t="inlineStr">
        <is>
          <t>依据与验证状态</t>
        </is>
      </c>
    </row>
    <row r="4">
      <c r="A4" s="1" t="inlineStr">
        <is>
          <t>月销量</t>
        </is>
      </c>
      <c r="B4" s="2" t="n"/>
      <c r="C4" s="2" t="n"/>
      <c r="D4" s="2" t="n"/>
      <c r="E4" s="1" t="inlineStr">
        <is>
          <t>单位/月；单位可为订单或服务，按项目定义</t>
        </is>
      </c>
      <c r="F4" s="1" t="inlineStr">
        <is>
          <t>待填写来源/估算方法；未验证</t>
        </is>
      </c>
    </row>
    <row r="5">
      <c r="A5" s="1" t="inlineStr">
        <is>
          <t>单位净收入</t>
        </is>
      </c>
      <c r="B5" s="2" t="n"/>
      <c r="C5" s="2" t="n"/>
      <c r="D5" s="2" t="n"/>
      <c r="E5" s="1" t="inlineStr">
        <is>
          <t>元/单位；不把交易额当平台收入</t>
        </is>
      </c>
      <c r="F5" s="1" t="inlineStr">
        <is>
          <t>待填写来源/估算方法；未验证</t>
        </is>
      </c>
    </row>
    <row r="6">
      <c r="A6" s="1" t="inlineStr">
        <is>
          <t>单位变动成本</t>
        </is>
      </c>
      <c r="B6" s="2" t="n"/>
      <c r="C6" s="2" t="n"/>
      <c r="D6" s="2" t="n"/>
      <c r="E6" s="1" t="inlineStr">
        <is>
          <t>元/单位；含对应直接支出</t>
        </is>
      </c>
      <c r="F6" s="1" t="inlineStr">
        <is>
          <t>待填写来源/估算方法；未验证</t>
        </is>
      </c>
    </row>
    <row r="7">
      <c r="A7" s="1" t="inlineStr">
        <is>
          <t>月固定现金支出</t>
        </is>
      </c>
      <c r="B7" s="2" t="n"/>
      <c r="C7" s="2" t="n"/>
      <c r="D7" s="2" t="n"/>
      <c r="E7" s="1" t="inlineStr">
        <is>
          <t>元/月</t>
        </is>
      </c>
      <c r="F7" s="1" t="inlineStr">
        <is>
          <t>待填写来源/估算方法；未验证</t>
        </is>
      </c>
    </row>
    <row r="8">
      <c r="A8" s="1" t="inlineStr">
        <is>
          <t>一次启动投入</t>
        </is>
      </c>
      <c r="B8" s="2" t="n"/>
      <c r="C8" s="2" t="n"/>
      <c r="D8" s="2" t="n"/>
      <c r="E8" s="1" t="inlineStr">
        <is>
          <t>元；发生于第0月</t>
        </is>
      </c>
      <c r="F8" s="1" t="inlineStr">
        <is>
          <t>待填写来源/估算方法；未验证</t>
        </is>
      </c>
    </row>
    <row r="9">
      <c r="A9" s="1" t="inlineStr">
        <is>
          <t>初始可用现金</t>
        </is>
      </c>
      <c r="B9" s="2" t="n"/>
      <c r="C9" s="2" t="n"/>
      <c r="D9" s="2" t="n"/>
      <c r="E9" s="1" t="inlineStr">
        <is>
          <t>元；不含尚未到账融资</t>
        </is>
      </c>
      <c r="F9" s="1" t="inlineStr">
        <is>
          <t>待填写来源/估算方法；未验证</t>
        </is>
      </c>
    </row>
    <row r="10">
      <c r="A10" s="1" t="inlineStr">
        <is>
          <t>安全缓冲</t>
        </is>
      </c>
      <c r="B10" s="2" t="n"/>
      <c r="C10" s="2" t="n"/>
      <c r="D10" s="2" t="n"/>
      <c r="E10" s="1" t="inlineStr">
        <is>
          <t>元；由业务约束设定</t>
        </is>
      </c>
      <c r="F10" s="1" t="inlineStr">
        <is>
          <t>待填写来源/估算方法；未验证</t>
        </is>
      </c>
    </row>
    <row r="11">
      <c r="A11" s="1" t="n"/>
      <c r="B11" s="1" t="n"/>
      <c r="C11" s="1" t="n"/>
      <c r="D11" s="1" t="n"/>
      <c r="E11" s="1" t="n"/>
      <c r="F11" s="1" t="n"/>
    </row>
    <row r="12">
      <c r="A12" s="1" t="inlineStr">
        <is>
          <t>以上每个情景的7项参数都填写后才显示结果；合法的0值可填写0。</t>
        </is>
      </c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inlineStr">
        <is>
          <t>月收入</t>
        </is>
      </c>
      <c r="B15" s="1">
        <f>IF(COUNT(B4:B10)&lt;7,"待填",B4*B5)</f>
        <v/>
      </c>
      <c r="C15" s="1">
        <f>IF(COUNT(C4:C10)&lt;7,"待填",C4*C5)</f>
        <v/>
      </c>
      <c r="D15" s="1">
        <f>IF(COUNT(D4:D10)&lt;7,"待填",D4*D5)</f>
        <v/>
      </c>
      <c r="E15" s="1" t="n"/>
      <c r="F15" s="1" t="n"/>
    </row>
    <row r="16">
      <c r="A16" s="1" t="inlineStr">
        <is>
          <t>月变动成本</t>
        </is>
      </c>
      <c r="B16" s="1">
        <f>IF(COUNT(B4:B10)&lt;7,"待填",B4*B6)</f>
        <v/>
      </c>
      <c r="C16" s="1">
        <f>IF(COUNT(C4:C10)&lt;7,"待填",C4*C6)</f>
        <v/>
      </c>
      <c r="D16" s="1">
        <f>IF(COUNT(D4:D10)&lt;7,"待填",D4*D6)</f>
        <v/>
      </c>
      <c r="E16" s="1" t="n"/>
      <c r="F16" s="1" t="n"/>
    </row>
    <row r="17">
      <c r="A17" s="1" t="inlineStr">
        <is>
          <t>月贡献</t>
        </is>
      </c>
      <c r="B17" s="1">
        <f>IF(COUNT(B4:B10)&lt;7,"待填",B15-B16)</f>
        <v/>
      </c>
      <c r="C17" s="1">
        <f>IF(COUNT(C4:C10)&lt;7,"待填",C15-C16)</f>
        <v/>
      </c>
      <c r="D17" s="1">
        <f>IF(COUNT(D4:D10)&lt;7,"待填",D15-D16)</f>
        <v/>
      </c>
      <c r="E17" s="1" t="n"/>
      <c r="F17" s="1" t="n"/>
    </row>
    <row r="18">
      <c r="A18" s="1" t="inlineStr">
        <is>
          <t>月经营净流入（即收即付）</t>
        </is>
      </c>
      <c r="B18" s="1">
        <f>IF(COUNT(B4:B10)&lt;7,"待填",B17-B7)</f>
        <v/>
      </c>
      <c r="C18" s="1">
        <f>IF(COUNT(C4:C10)&lt;7,"待填",C17-C7)</f>
        <v/>
      </c>
      <c r="D18" s="1">
        <f>IF(COUNT(D4:D10)&lt;7,"待填",D17-D7)</f>
        <v/>
      </c>
      <c r="E18" s="1" t="n"/>
      <c r="F18" s="1" t="n"/>
    </row>
    <row r="19">
      <c r="A19" s="1" t="inlineStr">
        <is>
          <t>盈亏平衡销量</t>
        </is>
      </c>
      <c r="B19" s="1">
        <f>IF(COUNT(B4:B10)&lt;7,"待填",IF(B5&lt;=B6,"单位贡献不为正",ROUNDUP(B7/(B5-B6),0)))</f>
        <v/>
      </c>
      <c r="C19" s="1">
        <f>IF(COUNT(C4:C10)&lt;7,"待填",IF(C5&lt;=C6,"单位贡献不为正",ROUNDUP(C7/(C5-C6),0)))</f>
        <v/>
      </c>
      <c r="D19" s="1">
        <f>IF(COUNT(D4:D10)&lt;7,"待填",IF(D5&lt;=D6,"单位贡献不为正",ROUNDUP(D7/(D5-D6),0)))</f>
        <v/>
      </c>
      <c r="E19" s="1" t="n"/>
      <c r="F19" s="1" t="n"/>
    </row>
    <row r="20">
      <c r="A20" s="1" t="inlineStr">
        <is>
          <t>12个月最低现金（含启动时点）</t>
        </is>
      </c>
      <c r="B20" s="1">
        <f>IF(COUNT(B4:B10)&lt;7,"待填",B9-B8+MIN(0,B18)*12)</f>
        <v/>
      </c>
      <c r="C20" s="1">
        <f>IF(COUNT(C4:C10)&lt;7,"待填",C9-C8+MIN(0,C18)*12)</f>
        <v/>
      </c>
      <c r="D20" s="1">
        <f>IF(COUNT(D4:D10)&lt;7,"待填",D9-D8+MIN(0,D18)*12)</f>
        <v/>
      </c>
      <c r="E20" s="1" t="n"/>
      <c r="F20" s="1" t="n"/>
    </row>
    <row r="21">
      <c r="A21" s="1" t="inlineStr">
        <is>
          <t>维持安全缓冲的额外资金缺口</t>
        </is>
      </c>
      <c r="B21" s="1">
        <f>IF(COUNT(B4:B10)&lt;7,"待填",MAX(0,B10-B20))</f>
        <v/>
      </c>
      <c r="C21" s="1">
        <f>IF(COUNT(C4:C10)&lt;7,"待填",MAX(0,C10-C20))</f>
        <v/>
      </c>
      <c r="D21" s="1">
        <f>IF(COUNT(D4:D10)&lt;7,"待填",MAX(0,D10-D20))</f>
        <v/>
      </c>
      <c r="E21" s="1" t="n"/>
      <c r="F21" s="1" t="n"/>
    </row>
  </sheetData>
  <dataValidations count="1">
    <dataValidation sqref="B4:D10" showDropDown="0" showInputMessage="0" showErrorMessage="1" allowBlank="1" errorTitle="参数需要非负数" error="请输入非负数字；未知值留空，不用猜测。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月份</t>
        </is>
      </c>
      <c r="B1" s="1" t="inlineStr">
        <is>
          <t>保守期末现金</t>
        </is>
      </c>
      <c r="C1" s="1" t="inlineStr">
        <is>
          <t>基准期末现金</t>
        </is>
      </c>
      <c r="D1" s="1" t="inlineStr">
        <is>
          <t>较好期末现金</t>
        </is>
      </c>
    </row>
    <row r="2">
      <c r="A2" s="1" t="n">
        <v>0</v>
      </c>
      <c r="B2" s="1">
        <f>IF(COUNT('参数与情景'!B4:B10)&lt;7,"待填",'参数与情景'!B9-'参数与情景'!B8+'参数与情景'!B18*A2)</f>
        <v/>
      </c>
      <c r="C2" s="1">
        <f>IF(COUNT('参数与情景'!C4:C10)&lt;7,"待填",'参数与情景'!C9-'参数与情景'!C8+'参数与情景'!C18*A2)</f>
        <v/>
      </c>
      <c r="D2" s="1">
        <f>IF(COUNT('参数与情景'!D4:D10)&lt;7,"待填",'参数与情景'!D9-'参数与情景'!D8+'参数与情景'!D18*A2)</f>
        <v/>
      </c>
    </row>
    <row r="3">
      <c r="A3" s="1" t="n">
        <v>1</v>
      </c>
      <c r="B3" s="1">
        <f>IF(COUNT('参数与情景'!B4:B10)&lt;7,"待填",'参数与情景'!B9-'参数与情景'!B8+'参数与情景'!B18*A3)</f>
        <v/>
      </c>
      <c r="C3" s="1">
        <f>IF(COUNT('参数与情景'!C4:C10)&lt;7,"待填",'参数与情景'!C9-'参数与情景'!C8+'参数与情景'!C18*A3)</f>
        <v/>
      </c>
      <c r="D3" s="1">
        <f>IF(COUNT('参数与情景'!D4:D10)&lt;7,"待填",'参数与情景'!D9-'参数与情景'!D8+'参数与情景'!D18*A3)</f>
        <v/>
      </c>
    </row>
    <row r="4">
      <c r="A4" s="1" t="n">
        <v>2</v>
      </c>
      <c r="B4" s="1">
        <f>IF(COUNT('参数与情景'!B4:B10)&lt;7,"待填",'参数与情景'!B9-'参数与情景'!B8+'参数与情景'!B18*A4)</f>
        <v/>
      </c>
      <c r="C4" s="1">
        <f>IF(COUNT('参数与情景'!C4:C10)&lt;7,"待填",'参数与情景'!C9-'参数与情景'!C8+'参数与情景'!C18*A4)</f>
        <v/>
      </c>
      <c r="D4" s="1">
        <f>IF(COUNT('参数与情景'!D4:D10)&lt;7,"待填",'参数与情景'!D9-'参数与情景'!D8+'参数与情景'!D18*A4)</f>
        <v/>
      </c>
    </row>
    <row r="5">
      <c r="A5" s="1" t="n">
        <v>3</v>
      </c>
      <c r="B5" s="1">
        <f>IF(COUNT('参数与情景'!B4:B10)&lt;7,"待填",'参数与情景'!B9-'参数与情景'!B8+'参数与情景'!B18*A5)</f>
        <v/>
      </c>
      <c r="C5" s="1">
        <f>IF(COUNT('参数与情景'!C4:C10)&lt;7,"待填",'参数与情景'!C9-'参数与情景'!C8+'参数与情景'!C18*A5)</f>
        <v/>
      </c>
      <c r="D5" s="1">
        <f>IF(COUNT('参数与情景'!D4:D10)&lt;7,"待填",'参数与情景'!D9-'参数与情景'!D8+'参数与情景'!D18*A5)</f>
        <v/>
      </c>
    </row>
    <row r="6">
      <c r="A6" s="1" t="n">
        <v>4</v>
      </c>
      <c r="B6" s="1">
        <f>IF(COUNT('参数与情景'!B4:B10)&lt;7,"待填",'参数与情景'!B9-'参数与情景'!B8+'参数与情景'!B18*A6)</f>
        <v/>
      </c>
      <c r="C6" s="1">
        <f>IF(COUNT('参数与情景'!C4:C10)&lt;7,"待填",'参数与情景'!C9-'参数与情景'!C8+'参数与情景'!C18*A6)</f>
        <v/>
      </c>
      <c r="D6" s="1">
        <f>IF(COUNT('参数与情景'!D4:D10)&lt;7,"待填",'参数与情景'!D9-'参数与情景'!D8+'参数与情景'!D18*A6)</f>
        <v/>
      </c>
    </row>
    <row r="7">
      <c r="A7" s="1" t="n">
        <v>5</v>
      </c>
      <c r="B7" s="1">
        <f>IF(COUNT('参数与情景'!B4:B10)&lt;7,"待填",'参数与情景'!B9-'参数与情景'!B8+'参数与情景'!B18*A7)</f>
        <v/>
      </c>
      <c r="C7" s="1">
        <f>IF(COUNT('参数与情景'!C4:C10)&lt;7,"待填",'参数与情景'!C9-'参数与情景'!C8+'参数与情景'!C18*A7)</f>
        <v/>
      </c>
      <c r="D7" s="1">
        <f>IF(COUNT('参数与情景'!D4:D10)&lt;7,"待填",'参数与情景'!D9-'参数与情景'!D8+'参数与情景'!D18*A7)</f>
        <v/>
      </c>
    </row>
    <row r="8">
      <c r="A8" s="1" t="n">
        <v>6</v>
      </c>
      <c r="B8" s="1">
        <f>IF(COUNT('参数与情景'!B4:B10)&lt;7,"待填",'参数与情景'!B9-'参数与情景'!B8+'参数与情景'!B18*A8)</f>
        <v/>
      </c>
      <c r="C8" s="1">
        <f>IF(COUNT('参数与情景'!C4:C10)&lt;7,"待填",'参数与情景'!C9-'参数与情景'!C8+'参数与情景'!C18*A8)</f>
        <v/>
      </c>
      <c r="D8" s="1">
        <f>IF(COUNT('参数与情景'!D4:D10)&lt;7,"待填",'参数与情景'!D9-'参数与情景'!D8+'参数与情景'!D18*A8)</f>
        <v/>
      </c>
    </row>
    <row r="9">
      <c r="A9" s="1" t="n">
        <v>7</v>
      </c>
      <c r="B9" s="1">
        <f>IF(COUNT('参数与情景'!B4:B10)&lt;7,"待填",'参数与情景'!B9-'参数与情景'!B8+'参数与情景'!B18*A9)</f>
        <v/>
      </c>
      <c r="C9" s="1">
        <f>IF(COUNT('参数与情景'!C4:C10)&lt;7,"待填",'参数与情景'!C9-'参数与情景'!C8+'参数与情景'!C18*A9)</f>
        <v/>
      </c>
      <c r="D9" s="1">
        <f>IF(COUNT('参数与情景'!D4:D10)&lt;7,"待填",'参数与情景'!D9-'参数与情景'!D8+'参数与情景'!D18*A9)</f>
        <v/>
      </c>
    </row>
    <row r="10">
      <c r="A10" s="1" t="n">
        <v>8</v>
      </c>
      <c r="B10" s="1">
        <f>IF(COUNT('参数与情景'!B4:B10)&lt;7,"待填",'参数与情景'!B9-'参数与情景'!B8+'参数与情景'!B18*A10)</f>
        <v/>
      </c>
      <c r="C10" s="1">
        <f>IF(COUNT('参数与情景'!C4:C10)&lt;7,"待填",'参数与情景'!C9-'参数与情景'!C8+'参数与情景'!C18*A10)</f>
        <v/>
      </c>
      <c r="D10" s="1">
        <f>IF(COUNT('参数与情景'!D4:D10)&lt;7,"待填",'参数与情景'!D9-'参数与情景'!D8+'参数与情景'!D18*A10)</f>
        <v/>
      </c>
    </row>
    <row r="11">
      <c r="A11" s="1" t="n">
        <v>9</v>
      </c>
      <c r="B11" s="1">
        <f>IF(COUNT('参数与情景'!B4:B10)&lt;7,"待填",'参数与情景'!B9-'参数与情景'!B8+'参数与情景'!B18*A11)</f>
        <v/>
      </c>
      <c r="C11" s="1">
        <f>IF(COUNT('参数与情景'!C4:C10)&lt;7,"待填",'参数与情景'!C9-'参数与情景'!C8+'参数与情景'!C18*A11)</f>
        <v/>
      </c>
      <c r="D11" s="1">
        <f>IF(COUNT('参数与情景'!D4:D10)&lt;7,"待填",'参数与情景'!D9-'参数与情景'!D8+'参数与情景'!D18*A11)</f>
        <v/>
      </c>
    </row>
    <row r="12">
      <c r="A12" s="1" t="n">
        <v>10</v>
      </c>
      <c r="B12" s="1">
        <f>IF(COUNT('参数与情景'!B4:B10)&lt;7,"待填",'参数与情景'!B9-'参数与情景'!B8+'参数与情景'!B18*A12)</f>
        <v/>
      </c>
      <c r="C12" s="1">
        <f>IF(COUNT('参数与情景'!C4:C10)&lt;7,"待填",'参数与情景'!C9-'参数与情景'!C8+'参数与情景'!C18*A12)</f>
        <v/>
      </c>
      <c r="D12" s="1">
        <f>IF(COUNT('参数与情景'!D4:D10)&lt;7,"待填",'参数与情景'!D9-'参数与情景'!D8+'参数与情景'!D18*A12)</f>
        <v/>
      </c>
    </row>
    <row r="13">
      <c r="A13" s="1" t="n">
        <v>11</v>
      </c>
      <c r="B13" s="1">
        <f>IF(COUNT('参数与情景'!B4:B10)&lt;7,"待填",'参数与情景'!B9-'参数与情景'!B8+'参数与情景'!B18*A13)</f>
        <v/>
      </c>
      <c r="C13" s="1">
        <f>IF(COUNT('参数与情景'!C4:C10)&lt;7,"待填",'参数与情景'!C9-'参数与情景'!C8+'参数与情景'!C18*A13)</f>
        <v/>
      </c>
      <c r="D13" s="1">
        <f>IF(COUNT('参数与情景'!D4:D10)&lt;7,"待填",'参数与情景'!D9-'参数与情景'!D8+'参数与情景'!D18*A13)</f>
        <v/>
      </c>
    </row>
    <row r="14">
      <c r="A14" s="1" t="n">
        <v>12</v>
      </c>
      <c r="B14" s="1">
        <f>IF(COUNT('参数与情景'!B4:B10)&lt;7,"待填",'参数与情景'!B9-'参数与情景'!B8+'参数与情景'!B18*A14)</f>
        <v/>
      </c>
      <c r="C14" s="1">
        <f>IF(COUNT('参数与情景'!C4:C10)&lt;7,"待填",'参数与情景'!C9-'参数与情景'!C8+'参数与情景'!C18*A14)</f>
        <v/>
      </c>
      <c r="D14" s="1">
        <f>IF(COUNT('参数与情景'!D4:D10)&lt;7,"待填",'参数与情景'!D9-'参数与情景'!D8+'参数与情景'!D18*A14)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这是一份空白模板，未填任何市场数据、价格、用户量或收入预测。</t>
        </is>
      </c>
    </row>
    <row r="2">
      <c r="A2" s="1" t="inlineStr">
        <is>
          <t>本表只适用简化单位模型。订阅留存、不同计价周期、平台费率、收付款时点、税费、库存与融资需按项目改造。</t>
        </is>
      </c>
    </row>
    <row r="3">
      <c r="A3" s="1" t="inlineStr">
        <is>
          <t>先为各参数补真实来源或明确估算方法，再做情景；三种情景不是已经验证的未来。</t>
        </is>
      </c>
    </row>
    <row r="4">
      <c r="A4" s="1" t="inlineStr">
        <is>
          <t>改变参数后在电子表格软件中重新计算；不能以文件能打开代替公式结果验收。</t>
        </is>
      </c>
    </row>
    <row r="5">
      <c r="A5" s="1" t="inlineStr">
        <is>
          <t>现金包含第0月投入，单位贡献非正时不虚构正数盈亏平衡销量。</t>
        </is>
      </c>
    </row>
    <row r="6">
      <c r="A6" s="1" t="inlineStr">
        <is>
          <t>初始可用现金只记录已可用金额；资金缺口不代表一定能融资或承诺投资回报。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2026-10-14T21:48:11Z</dcterms:created>
  <dcterms:modified xmlns:dcterms="http://purl.org/dc/terms/" xmlns:xsi="http://www.w3.org/2001/XMLSchema-instance" xsi:type="dcterms:W3CDTF">2026-10-14T21:48:11Z</dcterms:modified>
</cp:coreProperties>
</file>